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ACC344E0-14D5-4BCA-828A-582FBB67FE55}" xr6:coauthVersionLast="47" xr6:coauthVersionMax="47" xr10:uidLastSave="{00000000-0000-0000-0000-000000000000}"/>
  <bookViews>
    <workbookView xWindow="-110" yWindow="-110" windowWidth="19420" windowHeight="10300" xr2:uid="{F0CAB821-8E29-4A5A-828D-F0D2A794B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B20" i="1"/>
  <c r="C21" i="1"/>
  <c r="D21" i="1"/>
  <c r="J29" i="1" s="1"/>
  <c r="B21" i="1"/>
  <c r="J36" i="1" s="1"/>
  <c r="I30" i="1"/>
  <c r="F2" i="1"/>
  <c r="J27" i="1"/>
  <c r="J26" i="1"/>
  <c r="J28" i="1"/>
  <c r="J30" i="1"/>
  <c r="J31" i="1"/>
  <c r="J32" i="1"/>
  <c r="J33" i="1"/>
  <c r="J34" i="1"/>
  <c r="J35" i="1"/>
  <c r="J37" i="1"/>
  <c r="J38" i="1"/>
  <c r="J39" i="1"/>
  <c r="J40" i="1"/>
  <c r="I29" i="1"/>
  <c r="F26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G2" i="1"/>
  <c r="I28" i="1" l="1"/>
  <c r="I39" i="1"/>
  <c r="I40" i="1"/>
  <c r="I38" i="1"/>
  <c r="I37" i="1"/>
  <c r="I36" i="1"/>
  <c r="I27" i="1"/>
  <c r="I35" i="1"/>
  <c r="I34" i="1"/>
  <c r="I33" i="1"/>
  <c r="I26" i="1"/>
  <c r="I32" i="1"/>
  <c r="I31" i="1"/>
</calcChain>
</file>

<file path=xl/sharedStrings.xml><?xml version="1.0" encoding="utf-8"?>
<sst xmlns="http://schemas.openxmlformats.org/spreadsheetml/2006/main" count="96" uniqueCount="34">
  <si>
    <t>NO</t>
  </si>
  <si>
    <t>NAME</t>
  </si>
  <si>
    <t>MID EXAM</t>
  </si>
  <si>
    <t>ASSIGNMENT</t>
  </si>
  <si>
    <t>FINAL EXAM</t>
  </si>
  <si>
    <t>C1</t>
  </si>
  <si>
    <t>C2</t>
  </si>
  <si>
    <t>Result</t>
  </si>
  <si>
    <t>mid</t>
  </si>
  <si>
    <t>final</t>
  </si>
  <si>
    <t>Roy</t>
  </si>
  <si>
    <t>Cluster 1</t>
  </si>
  <si>
    <t>Sintia</t>
  </si>
  <si>
    <t>Cluster 2</t>
  </si>
  <si>
    <t>Iqbal</t>
  </si>
  <si>
    <t>Dilan</t>
  </si>
  <si>
    <t>Ratna</t>
  </si>
  <si>
    <t>Merry</t>
  </si>
  <si>
    <t>Rudi</t>
  </si>
  <si>
    <t>Hafiz</t>
  </si>
  <si>
    <t>Gede</t>
  </si>
  <si>
    <t>Christian</t>
  </si>
  <si>
    <t>Justin</t>
  </si>
  <si>
    <t>Jesika</t>
  </si>
  <si>
    <t>Ayu</t>
  </si>
  <si>
    <t>Siska</t>
  </si>
  <si>
    <t>Reitama</t>
  </si>
  <si>
    <t>asg</t>
  </si>
  <si>
    <t>NEW CENTROID</t>
  </si>
  <si>
    <t>smart</t>
  </si>
  <si>
    <t>medium</t>
  </si>
  <si>
    <t>KELAS : TI24F</t>
  </si>
  <si>
    <t>MATKUL : MACHINE LEARNING(SESI 7)</t>
  </si>
  <si>
    <t>NAMA : Pandu wiguna ruswandi (20240040258)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</si>
</sst>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2" xfId="0" applyFont="1" applyBorder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8D90-CA78-4434-A86C-85379310A034}">
  <dimension ref="A1:N59"/>
  <sheetViews>
    <sheetView tabSelected="1" workbookViewId="0">
      <selection activeCell="K4" sqref="K4"/>
    </sheetView>
  </sheetViews>
  <sheetFormatPr defaultRowHeight="14.5" x14ac:dyDescent="0.35"/>
  <cols>
    <col min="3" max="3" width="11.08984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/>
      <c r="K1" s="11" t="s">
        <v>33</v>
      </c>
    </row>
    <row r="2" spans="1:14" x14ac:dyDescent="0.35">
      <c r="A2" s="3">
        <v>1</v>
      </c>
      <c r="B2" s="3" t="s">
        <v>10</v>
      </c>
      <c r="C2" s="3">
        <v>89</v>
      </c>
      <c r="D2" s="3">
        <v>90</v>
      </c>
      <c r="E2" s="3">
        <v>75</v>
      </c>
      <c r="F2" s="3">
        <f>SQRT(((C2-$L$8)^2)+((D2-$M$8)^2)+((E2-$N$8)^2))</f>
        <v>12.569805089976535</v>
      </c>
      <c r="G2" s="3">
        <f>SQRT((C2-$L$10)^2+(D2-$M$10)^2+(E2-$N$10)^2)</f>
        <v>41.121770389904178</v>
      </c>
      <c r="H2" s="4">
        <v>1</v>
      </c>
      <c r="K2" s="11" t="s">
        <v>31</v>
      </c>
    </row>
    <row r="3" spans="1:14" x14ac:dyDescent="0.35">
      <c r="A3" s="3">
        <v>2</v>
      </c>
      <c r="B3" s="3" t="s">
        <v>12</v>
      </c>
      <c r="C3" s="3">
        <v>90</v>
      </c>
      <c r="D3" s="3">
        <v>71</v>
      </c>
      <c r="E3" s="3">
        <v>95</v>
      </c>
      <c r="F3" s="3">
        <f t="shared" ref="F3:F16" si="0">SQRT(((C3-$L$8)^2)+((D3-$M$8)^2)+((E3-$N$8)^2))</f>
        <v>24.899799195977465</v>
      </c>
      <c r="G3" s="3">
        <f t="shared" ref="G3:G16" si="1">SQRT((C3-$L$10)^2+(D3-$M$10)^2+(E3-$N$10)^2)</f>
        <v>46.486557196677836</v>
      </c>
      <c r="H3" s="4">
        <v>1</v>
      </c>
      <c r="K3" t="s">
        <v>32</v>
      </c>
    </row>
    <row r="4" spans="1:14" x14ac:dyDescent="0.35">
      <c r="A4" s="3">
        <v>3</v>
      </c>
      <c r="B4" s="3" t="s">
        <v>14</v>
      </c>
      <c r="C4" s="3">
        <v>70</v>
      </c>
      <c r="D4" s="3">
        <v>75</v>
      </c>
      <c r="E4" s="3">
        <v>80</v>
      </c>
      <c r="F4" s="3">
        <f t="shared" si="0"/>
        <v>32.015621187164243</v>
      </c>
      <c r="G4" s="3">
        <f t="shared" si="1"/>
        <v>24.494897427831781</v>
      </c>
      <c r="H4" s="6">
        <v>2</v>
      </c>
    </row>
    <row r="5" spans="1:14" x14ac:dyDescent="0.35">
      <c r="A5" s="3">
        <v>4</v>
      </c>
      <c r="B5" s="3" t="s">
        <v>15</v>
      </c>
      <c r="C5" s="3">
        <v>45</v>
      </c>
      <c r="D5" s="3">
        <v>65</v>
      </c>
      <c r="E5" s="3">
        <v>59</v>
      </c>
      <c r="F5" s="3">
        <f t="shared" si="0"/>
        <v>63.725975865419272</v>
      </c>
      <c r="G5" s="3">
        <f t="shared" si="1"/>
        <v>15.033296378372908</v>
      </c>
      <c r="H5" s="6">
        <v>2</v>
      </c>
    </row>
    <row r="6" spans="1:14" x14ac:dyDescent="0.35">
      <c r="A6" s="3">
        <v>5</v>
      </c>
      <c r="B6" s="3" t="s">
        <v>16</v>
      </c>
      <c r="C6" s="3">
        <v>65</v>
      </c>
      <c r="D6" s="3">
        <v>75</v>
      </c>
      <c r="E6" s="3">
        <v>53</v>
      </c>
      <c r="F6" s="3">
        <f t="shared" si="0"/>
        <v>48.052055106935853</v>
      </c>
      <c r="G6" s="3">
        <f t="shared" si="1"/>
        <v>13.19090595827292</v>
      </c>
      <c r="H6" s="6">
        <v>2</v>
      </c>
    </row>
    <row r="7" spans="1:14" x14ac:dyDescent="0.35">
      <c r="A7" s="3">
        <v>6</v>
      </c>
      <c r="B7" s="3" t="s">
        <v>17</v>
      </c>
      <c r="C7" s="3">
        <v>80</v>
      </c>
      <c r="D7" s="3">
        <v>70</v>
      </c>
      <c r="E7" s="3">
        <v>75</v>
      </c>
      <c r="F7" s="3">
        <f t="shared" si="0"/>
        <v>29.748949561287034</v>
      </c>
      <c r="G7" s="3">
        <f t="shared" si="1"/>
        <v>25.495097567963924</v>
      </c>
      <c r="H7" s="6">
        <v>2</v>
      </c>
    </row>
    <row r="8" spans="1:14" x14ac:dyDescent="0.35">
      <c r="A8" s="3">
        <v>7</v>
      </c>
      <c r="B8" s="3" t="s">
        <v>18</v>
      </c>
      <c r="C8" s="3">
        <v>90</v>
      </c>
      <c r="D8" s="3">
        <v>85</v>
      </c>
      <c r="E8" s="3">
        <v>81</v>
      </c>
      <c r="F8" s="3">
        <f t="shared" si="0"/>
        <v>10.770329614269007</v>
      </c>
      <c r="G8" s="3">
        <f t="shared" si="1"/>
        <v>41.725292090050132</v>
      </c>
      <c r="H8" s="4">
        <v>1</v>
      </c>
      <c r="J8" s="7"/>
      <c r="K8" s="5" t="s">
        <v>11</v>
      </c>
      <c r="L8" s="8">
        <v>96</v>
      </c>
      <c r="M8" s="8">
        <v>93</v>
      </c>
      <c r="N8" s="8">
        <v>85</v>
      </c>
    </row>
    <row r="9" spans="1:14" x14ac:dyDescent="0.35">
      <c r="A9" s="3">
        <v>8</v>
      </c>
      <c r="B9" s="3" t="s">
        <v>19</v>
      </c>
      <c r="C9" s="3">
        <v>70</v>
      </c>
      <c r="D9" s="3">
        <v>70</v>
      </c>
      <c r="E9" s="3">
        <v>73</v>
      </c>
      <c r="F9" s="3">
        <f t="shared" si="0"/>
        <v>36.728735344413913</v>
      </c>
      <c r="G9" s="3">
        <f t="shared" si="1"/>
        <v>17.146428199482248</v>
      </c>
      <c r="H9" s="6">
        <v>2</v>
      </c>
      <c r="J9" s="7"/>
      <c r="K9" s="5"/>
      <c r="L9" s="3"/>
      <c r="M9" s="3"/>
      <c r="N9" s="3"/>
    </row>
    <row r="10" spans="1:14" x14ac:dyDescent="0.35">
      <c r="A10" s="3">
        <v>9</v>
      </c>
      <c r="B10" s="3" t="s">
        <v>20</v>
      </c>
      <c r="C10" s="3">
        <v>96</v>
      </c>
      <c r="D10" s="3">
        <v>93</v>
      </c>
      <c r="E10" s="3">
        <v>85</v>
      </c>
      <c r="F10" s="3">
        <f t="shared" si="0"/>
        <v>0</v>
      </c>
      <c r="G10" s="3">
        <f t="shared" si="1"/>
        <v>52.009614495783374</v>
      </c>
      <c r="H10" s="4">
        <v>1</v>
      </c>
      <c r="J10" s="7"/>
      <c r="K10" s="5" t="s">
        <v>13</v>
      </c>
      <c r="L10" s="8">
        <v>60</v>
      </c>
      <c r="M10" s="8">
        <v>65</v>
      </c>
      <c r="N10" s="8">
        <v>60</v>
      </c>
    </row>
    <row r="11" spans="1:14" x14ac:dyDescent="0.35">
      <c r="A11" s="3">
        <v>10</v>
      </c>
      <c r="B11" s="3" t="s">
        <v>21</v>
      </c>
      <c r="C11" s="3">
        <v>60</v>
      </c>
      <c r="D11" s="3">
        <v>55</v>
      </c>
      <c r="E11" s="3">
        <v>48</v>
      </c>
      <c r="F11" s="3">
        <f t="shared" si="0"/>
        <v>64.101482042149385</v>
      </c>
      <c r="G11" s="3">
        <f t="shared" si="1"/>
        <v>15.620499351813308</v>
      </c>
      <c r="H11" s="6">
        <v>2</v>
      </c>
      <c r="J11" s="7"/>
    </row>
    <row r="12" spans="1:14" x14ac:dyDescent="0.35">
      <c r="A12" s="3">
        <v>11</v>
      </c>
      <c r="B12" s="3" t="s">
        <v>22</v>
      </c>
      <c r="C12" s="3">
        <v>45</v>
      </c>
      <c r="D12" s="3">
        <v>60</v>
      </c>
      <c r="E12" s="3">
        <v>58</v>
      </c>
      <c r="F12" s="3">
        <f t="shared" si="0"/>
        <v>66.475559418481012</v>
      </c>
      <c r="G12" s="3">
        <f t="shared" si="1"/>
        <v>15.937377450509228</v>
      </c>
      <c r="H12" s="6">
        <v>2</v>
      </c>
      <c r="J12" s="7"/>
    </row>
    <row r="13" spans="1:14" x14ac:dyDescent="0.35">
      <c r="A13" s="3">
        <v>12</v>
      </c>
      <c r="B13" s="3" t="s">
        <v>23</v>
      </c>
      <c r="C13" s="3">
        <v>60</v>
      </c>
      <c r="D13" s="3">
        <v>70</v>
      </c>
      <c r="E13" s="3">
        <v>72</v>
      </c>
      <c r="F13" s="3">
        <f t="shared" si="0"/>
        <v>44.654227123532216</v>
      </c>
      <c r="G13" s="3">
        <f t="shared" si="1"/>
        <v>13</v>
      </c>
      <c r="H13" s="6">
        <v>2</v>
      </c>
      <c r="J13" s="7"/>
    </row>
    <row r="14" spans="1:14" x14ac:dyDescent="0.35">
      <c r="A14" s="3">
        <v>13</v>
      </c>
      <c r="B14" s="3" t="s">
        <v>24</v>
      </c>
      <c r="C14" s="3">
        <v>85</v>
      </c>
      <c r="D14" s="3">
        <v>90</v>
      </c>
      <c r="E14" s="3">
        <v>88</v>
      </c>
      <c r="F14" s="3">
        <f t="shared" si="0"/>
        <v>11.789826122551595</v>
      </c>
      <c r="G14" s="3">
        <f t="shared" si="1"/>
        <v>45.099889135118723</v>
      </c>
      <c r="H14" s="4">
        <v>1</v>
      </c>
      <c r="J14" s="7"/>
    </row>
    <row r="15" spans="1:14" x14ac:dyDescent="0.35">
      <c r="A15" s="3">
        <v>14</v>
      </c>
      <c r="B15" s="3" t="s">
        <v>25</v>
      </c>
      <c r="C15" s="3">
        <v>52</v>
      </c>
      <c r="D15" s="3">
        <v>68</v>
      </c>
      <c r="E15" s="3">
        <v>55</v>
      </c>
      <c r="F15" s="3">
        <f t="shared" si="0"/>
        <v>58.830264320330912</v>
      </c>
      <c r="G15" s="3">
        <f t="shared" si="1"/>
        <v>9.8994949366116654</v>
      </c>
      <c r="H15" s="6">
        <v>2</v>
      </c>
      <c r="J15" s="7"/>
    </row>
    <row r="16" spans="1:14" x14ac:dyDescent="0.35">
      <c r="A16" s="3">
        <v>15</v>
      </c>
      <c r="B16" s="3" t="s">
        <v>26</v>
      </c>
      <c r="C16" s="3">
        <v>40</v>
      </c>
      <c r="D16" s="3">
        <v>60</v>
      </c>
      <c r="E16" s="3">
        <v>70</v>
      </c>
      <c r="F16" s="3">
        <f t="shared" si="0"/>
        <v>66.708320320631671</v>
      </c>
      <c r="G16" s="3">
        <f t="shared" si="1"/>
        <v>22.912878474779198</v>
      </c>
      <c r="H16" s="6">
        <v>2</v>
      </c>
      <c r="J16" s="7"/>
    </row>
    <row r="19" spans="1:11" x14ac:dyDescent="0.35">
      <c r="B19" s="2" t="s">
        <v>8</v>
      </c>
      <c r="C19" s="2" t="s">
        <v>27</v>
      </c>
      <c r="D19" s="2" t="s">
        <v>9</v>
      </c>
    </row>
    <row r="20" spans="1:11" x14ac:dyDescent="0.35">
      <c r="A20" s="5" t="s">
        <v>11</v>
      </c>
      <c r="B20" s="9">
        <f>(C2+C3+C8+C10+C14)/5</f>
        <v>90</v>
      </c>
      <c r="C20" s="9">
        <f>(D2+D3+D8+D10+D14)/5</f>
        <v>85.8</v>
      </c>
      <c r="D20" s="9">
        <f>(E2+E3+E8+E10+E14)/5</f>
        <v>84.8</v>
      </c>
      <c r="F20" t="s">
        <v>28</v>
      </c>
    </row>
    <row r="21" spans="1:11" x14ac:dyDescent="0.35">
      <c r="A21" s="5" t="s">
        <v>13</v>
      </c>
      <c r="B21" s="9">
        <f>(C4+C5+C6+C7+C9+C11+C12+C13+C15+C16)/10</f>
        <v>58.7</v>
      </c>
      <c r="C21" s="9">
        <f t="shared" ref="C21:D21" si="2">(D4+D5+D6+D7+D9+D11+D12+D13+D15+D16)/10</f>
        <v>66.8</v>
      </c>
      <c r="D21" s="9">
        <f t="shared" si="2"/>
        <v>64.3</v>
      </c>
    </row>
    <row r="25" spans="1:11" x14ac:dyDescent="0.3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5</v>
      </c>
      <c r="J25" s="1" t="s">
        <v>6</v>
      </c>
      <c r="K25" s="1" t="s">
        <v>7</v>
      </c>
    </row>
    <row r="26" spans="1:11" x14ac:dyDescent="0.35">
      <c r="A26" s="3">
        <v>1</v>
      </c>
      <c r="B26" s="3" t="s">
        <v>10</v>
      </c>
      <c r="C26" s="3">
        <v>89</v>
      </c>
      <c r="D26" s="3">
        <v>90</v>
      </c>
      <c r="E26" s="3">
        <v>75</v>
      </c>
      <c r="F26" s="3">
        <f>SQRT(((C26-$L$8)^2)+((D26-$M$8)^2)+((E26-$N$8)^2))</f>
        <v>12.569805089976535</v>
      </c>
      <c r="G26" s="3">
        <f>SQRT((C26-$L$10)^2+(D26-$M$10)^2+(E26-$N$10)^2)</f>
        <v>41.121770389904178</v>
      </c>
      <c r="H26" s="4">
        <v>1</v>
      </c>
      <c r="I26" s="3">
        <f>SQRT(((C26-$B$20)^2)+((D26-$C$20)^2)+((E26-$D$20)^2))</f>
        <v>10.708874824182043</v>
      </c>
      <c r="J26" s="3">
        <f>SQRT((C26-$B$21)^2+(D26-$C$21)^2+(E26-$D$21)^2)</f>
        <v>39.633571628103361</v>
      </c>
      <c r="K26" s="4">
        <v>1</v>
      </c>
    </row>
    <row r="27" spans="1:11" x14ac:dyDescent="0.35">
      <c r="A27" s="3">
        <v>2</v>
      </c>
      <c r="B27" s="3" t="s">
        <v>12</v>
      </c>
      <c r="C27" s="3">
        <v>90</v>
      </c>
      <c r="D27" s="3">
        <v>71</v>
      </c>
      <c r="E27" s="3">
        <v>95</v>
      </c>
      <c r="F27" s="3">
        <f t="shared" ref="F27:F40" si="3">SQRT(((C27-$L$8)^2)+((D27-$M$8)^2)+((E27-$N$8)^2))</f>
        <v>24.899799195977465</v>
      </c>
      <c r="G27" s="3">
        <f t="shared" ref="G27:G40" si="4">SQRT((C27-$L$10)^2+(D27-$M$10)^2+(E27-$N$10)^2)</f>
        <v>46.486557196677836</v>
      </c>
      <c r="H27" s="4">
        <v>1</v>
      </c>
      <c r="I27" s="3">
        <f>SQRT(((C27-$B$20)^2)+((D27-$C$20)^2)+((E27-$D$20)^2))</f>
        <v>17.974426277353054</v>
      </c>
      <c r="J27" s="3">
        <f>SQRT((C27-$B$21)^2+(D27-$C$21)^2+(E27-$D$21)^2)</f>
        <v>44.043387698949772</v>
      </c>
      <c r="K27" s="4">
        <v>1</v>
      </c>
    </row>
    <row r="28" spans="1:11" x14ac:dyDescent="0.35">
      <c r="A28" s="3">
        <v>3</v>
      </c>
      <c r="B28" s="3" t="s">
        <v>14</v>
      </c>
      <c r="C28" s="3">
        <v>70</v>
      </c>
      <c r="D28" s="3">
        <v>75</v>
      </c>
      <c r="E28" s="3">
        <v>80</v>
      </c>
      <c r="F28" s="3">
        <f t="shared" si="3"/>
        <v>32.015621187164243</v>
      </c>
      <c r="G28" s="3">
        <f t="shared" si="4"/>
        <v>24.494897427831781</v>
      </c>
      <c r="H28" s="6">
        <v>2</v>
      </c>
      <c r="I28" s="3">
        <f t="shared" ref="I28:I40" si="5">SQRT(((C28-$B$20)^2)+((D28-$C$20)^2)+((E28-$D$20)^2))</f>
        <v>23.231013753170565</v>
      </c>
      <c r="J28" s="3">
        <f t="shared" ref="J28:J40" si="6">SQRT((C28-$B$21)^2+(D28-$C$21)^2+(E28-$D$21)^2)</f>
        <v>21.009997620180734</v>
      </c>
      <c r="K28" s="6">
        <v>2</v>
      </c>
    </row>
    <row r="29" spans="1:11" x14ac:dyDescent="0.35">
      <c r="A29" s="3">
        <v>4</v>
      </c>
      <c r="B29" s="3" t="s">
        <v>15</v>
      </c>
      <c r="C29" s="3">
        <v>45</v>
      </c>
      <c r="D29" s="3">
        <v>65</v>
      </c>
      <c r="E29" s="3">
        <v>59</v>
      </c>
      <c r="F29" s="3">
        <f t="shared" si="3"/>
        <v>63.725975865419272</v>
      </c>
      <c r="G29" s="3">
        <f t="shared" si="4"/>
        <v>15.033296378372908</v>
      </c>
      <c r="H29" s="6">
        <v>2</v>
      </c>
      <c r="I29" s="3">
        <f t="shared" si="5"/>
        <v>55.886313172368062</v>
      </c>
      <c r="J29" s="3">
        <f t="shared" si="6"/>
        <v>14.799324308900053</v>
      </c>
      <c r="K29" s="6">
        <v>2</v>
      </c>
    </row>
    <row r="30" spans="1:11" x14ac:dyDescent="0.35">
      <c r="A30" s="3">
        <v>5</v>
      </c>
      <c r="B30" s="3" t="s">
        <v>16</v>
      </c>
      <c r="C30" s="3">
        <v>65</v>
      </c>
      <c r="D30" s="3">
        <v>75</v>
      </c>
      <c r="E30" s="3">
        <v>53</v>
      </c>
      <c r="F30" s="3">
        <f t="shared" si="3"/>
        <v>48.052055106935853</v>
      </c>
      <c r="G30" s="3">
        <f t="shared" si="4"/>
        <v>13.19090595827292</v>
      </c>
      <c r="H30" s="6">
        <v>2</v>
      </c>
      <c r="I30" s="3">
        <f t="shared" si="5"/>
        <v>41.867409759859754</v>
      </c>
      <c r="J30" s="3">
        <f t="shared" si="6"/>
        <v>15.317310468878013</v>
      </c>
      <c r="K30" s="6">
        <v>2</v>
      </c>
    </row>
    <row r="31" spans="1:11" x14ac:dyDescent="0.35">
      <c r="A31" s="3">
        <v>6</v>
      </c>
      <c r="B31" s="3" t="s">
        <v>17</v>
      </c>
      <c r="C31" s="3">
        <v>80</v>
      </c>
      <c r="D31" s="3">
        <v>70</v>
      </c>
      <c r="E31" s="3">
        <v>75</v>
      </c>
      <c r="F31" s="3">
        <f t="shared" si="3"/>
        <v>29.748949561287034</v>
      </c>
      <c r="G31" s="3">
        <f t="shared" si="4"/>
        <v>25.495097567963924</v>
      </c>
      <c r="H31" s="6">
        <v>2</v>
      </c>
      <c r="I31" s="3">
        <f t="shared" si="5"/>
        <v>21.111134502911014</v>
      </c>
      <c r="J31" s="3">
        <f t="shared" si="6"/>
        <v>24.050363822611914</v>
      </c>
      <c r="K31" s="4">
        <v>1</v>
      </c>
    </row>
    <row r="32" spans="1:11" x14ac:dyDescent="0.35">
      <c r="A32" s="3">
        <v>7</v>
      </c>
      <c r="B32" s="3" t="s">
        <v>18</v>
      </c>
      <c r="C32" s="3">
        <v>90</v>
      </c>
      <c r="D32" s="3">
        <v>85</v>
      </c>
      <c r="E32" s="3">
        <v>81</v>
      </c>
      <c r="F32" s="3">
        <f t="shared" si="3"/>
        <v>10.770329614269007</v>
      </c>
      <c r="G32" s="3">
        <f t="shared" si="4"/>
        <v>41.725292090050132</v>
      </c>
      <c r="H32" s="4">
        <v>1</v>
      </c>
      <c r="I32" s="3">
        <f t="shared" si="5"/>
        <v>3.8832975677895165</v>
      </c>
      <c r="J32" s="3">
        <f t="shared" si="6"/>
        <v>39.872546946489386</v>
      </c>
      <c r="K32" s="4">
        <v>1</v>
      </c>
    </row>
    <row r="33" spans="1:11" x14ac:dyDescent="0.35">
      <c r="A33" s="3">
        <v>8</v>
      </c>
      <c r="B33" s="3" t="s">
        <v>19</v>
      </c>
      <c r="C33" s="3">
        <v>70</v>
      </c>
      <c r="D33" s="3">
        <v>70</v>
      </c>
      <c r="E33" s="3">
        <v>73</v>
      </c>
      <c r="F33" s="3">
        <f t="shared" si="3"/>
        <v>36.728735344413913</v>
      </c>
      <c r="G33" s="3">
        <f t="shared" si="4"/>
        <v>17.146428199482248</v>
      </c>
      <c r="H33" s="6">
        <v>2</v>
      </c>
      <c r="I33" s="3">
        <f t="shared" si="5"/>
        <v>28.087007672587688</v>
      </c>
      <c r="J33" s="3">
        <f t="shared" si="6"/>
        <v>14.615744934829699</v>
      </c>
      <c r="K33" s="6">
        <v>2</v>
      </c>
    </row>
    <row r="34" spans="1:11" x14ac:dyDescent="0.35">
      <c r="A34" s="3">
        <v>9</v>
      </c>
      <c r="B34" s="3" t="s">
        <v>20</v>
      </c>
      <c r="C34" s="3">
        <v>96</v>
      </c>
      <c r="D34" s="3">
        <v>93</v>
      </c>
      <c r="E34" s="3">
        <v>85</v>
      </c>
      <c r="F34" s="3">
        <f t="shared" si="3"/>
        <v>0</v>
      </c>
      <c r="G34" s="3">
        <f t="shared" si="4"/>
        <v>52.009614495783374</v>
      </c>
      <c r="H34" s="4">
        <v>1</v>
      </c>
      <c r="I34" s="3">
        <f t="shared" si="5"/>
        <v>9.3744333162063747</v>
      </c>
      <c r="J34" s="3">
        <f t="shared" si="6"/>
        <v>50.062161359653665</v>
      </c>
      <c r="K34" s="4">
        <v>1</v>
      </c>
    </row>
    <row r="35" spans="1:11" x14ac:dyDescent="0.35">
      <c r="A35" s="3">
        <v>10</v>
      </c>
      <c r="B35" s="3" t="s">
        <v>21</v>
      </c>
      <c r="C35" s="3">
        <v>60</v>
      </c>
      <c r="D35" s="3">
        <v>55</v>
      </c>
      <c r="E35" s="3">
        <v>48</v>
      </c>
      <c r="F35" s="3">
        <f t="shared" si="3"/>
        <v>64.101482042149385</v>
      </c>
      <c r="G35" s="3">
        <f t="shared" si="4"/>
        <v>15.620499351813308</v>
      </c>
      <c r="H35" s="6">
        <v>2</v>
      </c>
      <c r="I35" s="3">
        <f t="shared" si="5"/>
        <v>56.593992614057541</v>
      </c>
      <c r="J35" s="3">
        <f t="shared" si="6"/>
        <v>20.164820852167267</v>
      </c>
      <c r="K35" s="6">
        <v>2</v>
      </c>
    </row>
    <row r="36" spans="1:11" x14ac:dyDescent="0.35">
      <c r="A36" s="3">
        <v>11</v>
      </c>
      <c r="B36" s="3" t="s">
        <v>22</v>
      </c>
      <c r="C36" s="3">
        <v>45</v>
      </c>
      <c r="D36" s="3">
        <v>60</v>
      </c>
      <c r="E36" s="3">
        <v>58</v>
      </c>
      <c r="F36" s="3">
        <f t="shared" si="3"/>
        <v>66.475559418481012</v>
      </c>
      <c r="G36" s="3">
        <f t="shared" si="4"/>
        <v>15.937377450509228</v>
      </c>
      <c r="H36" s="6">
        <v>2</v>
      </c>
      <c r="I36" s="3">
        <f t="shared" si="5"/>
        <v>58.385614666628285</v>
      </c>
      <c r="J36" s="3">
        <f t="shared" si="6"/>
        <v>16.541463055002119</v>
      </c>
      <c r="K36" s="6">
        <v>2</v>
      </c>
    </row>
    <row r="37" spans="1:11" x14ac:dyDescent="0.35">
      <c r="A37" s="3">
        <v>12</v>
      </c>
      <c r="B37" s="3" t="s">
        <v>23</v>
      </c>
      <c r="C37" s="3">
        <v>60</v>
      </c>
      <c r="D37" s="3">
        <v>70</v>
      </c>
      <c r="E37" s="3">
        <v>72</v>
      </c>
      <c r="F37" s="3">
        <f t="shared" si="3"/>
        <v>44.654227123532216</v>
      </c>
      <c r="G37" s="3">
        <f t="shared" si="4"/>
        <v>13</v>
      </c>
      <c r="H37" s="6">
        <v>2</v>
      </c>
      <c r="I37" s="3">
        <f t="shared" si="5"/>
        <v>36.241964626658969</v>
      </c>
      <c r="J37" s="3">
        <f t="shared" si="6"/>
        <v>8.4391942743368613</v>
      </c>
      <c r="K37" s="6">
        <v>2</v>
      </c>
    </row>
    <row r="38" spans="1:11" x14ac:dyDescent="0.35">
      <c r="A38" s="3">
        <v>13</v>
      </c>
      <c r="B38" s="3" t="s">
        <v>24</v>
      </c>
      <c r="C38" s="3">
        <v>85</v>
      </c>
      <c r="D38" s="3">
        <v>90</v>
      </c>
      <c r="E38" s="3">
        <v>88</v>
      </c>
      <c r="F38" s="3">
        <f t="shared" si="3"/>
        <v>11.789826122551595</v>
      </c>
      <c r="G38" s="3">
        <f t="shared" si="4"/>
        <v>45.099889135118723</v>
      </c>
      <c r="H38" s="4">
        <v>1</v>
      </c>
      <c r="I38" s="3">
        <f t="shared" si="5"/>
        <v>7.2718635850791404</v>
      </c>
      <c r="J38" s="3">
        <f t="shared" si="6"/>
        <v>42.327532410949729</v>
      </c>
      <c r="K38" s="4">
        <v>1</v>
      </c>
    </row>
    <row r="39" spans="1:11" x14ac:dyDescent="0.35">
      <c r="A39" s="3">
        <v>14</v>
      </c>
      <c r="B39" s="3" t="s">
        <v>25</v>
      </c>
      <c r="C39" s="3">
        <v>52</v>
      </c>
      <c r="D39" s="3">
        <v>68</v>
      </c>
      <c r="E39" s="3">
        <v>55</v>
      </c>
      <c r="F39" s="3">
        <f t="shared" si="3"/>
        <v>58.830264320330912</v>
      </c>
      <c r="G39" s="3">
        <f t="shared" si="4"/>
        <v>9.8994949366116654</v>
      </c>
      <c r="H39" s="6">
        <v>2</v>
      </c>
      <c r="I39" s="3">
        <f t="shared" si="5"/>
        <v>51.46727115361761</v>
      </c>
      <c r="J39" s="3">
        <f t="shared" si="6"/>
        <v>11.524755962709145</v>
      </c>
      <c r="K39" s="6">
        <v>2</v>
      </c>
    </row>
    <row r="40" spans="1:11" x14ac:dyDescent="0.35">
      <c r="A40" s="3">
        <v>15</v>
      </c>
      <c r="B40" s="3" t="s">
        <v>26</v>
      </c>
      <c r="C40" s="3">
        <v>40</v>
      </c>
      <c r="D40" s="3">
        <v>60</v>
      </c>
      <c r="E40" s="3">
        <v>70</v>
      </c>
      <c r="F40" s="3">
        <f t="shared" si="3"/>
        <v>66.708320320631671</v>
      </c>
      <c r="G40" s="3">
        <f t="shared" si="4"/>
        <v>22.912878474779198</v>
      </c>
      <c r="H40" s="6">
        <v>2</v>
      </c>
      <c r="I40" s="3">
        <f t="shared" si="5"/>
        <v>58.17800271580316</v>
      </c>
      <c r="J40" s="3">
        <f t="shared" si="6"/>
        <v>20.698309109683333</v>
      </c>
      <c r="K40" s="6">
        <v>2</v>
      </c>
    </row>
    <row r="44" spans="1:11" x14ac:dyDescent="0.3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7</v>
      </c>
    </row>
    <row r="45" spans="1:11" x14ac:dyDescent="0.35">
      <c r="A45" s="3">
        <v>1</v>
      </c>
      <c r="B45" s="3" t="s">
        <v>10</v>
      </c>
      <c r="C45" s="3">
        <v>89</v>
      </c>
      <c r="D45" s="3">
        <v>90</v>
      </c>
      <c r="E45" s="3">
        <v>75</v>
      </c>
      <c r="F45" s="4" t="s">
        <v>29</v>
      </c>
    </row>
    <row r="46" spans="1:11" x14ac:dyDescent="0.35">
      <c r="A46" s="3">
        <v>2</v>
      </c>
      <c r="B46" s="3" t="s">
        <v>12</v>
      </c>
      <c r="C46" s="3">
        <v>90</v>
      </c>
      <c r="D46" s="3">
        <v>71</v>
      </c>
      <c r="E46" s="3">
        <v>95</v>
      </c>
      <c r="F46" s="4" t="s">
        <v>29</v>
      </c>
    </row>
    <row r="47" spans="1:11" x14ac:dyDescent="0.35">
      <c r="A47" s="3">
        <v>3</v>
      </c>
      <c r="B47" s="3" t="s">
        <v>14</v>
      </c>
      <c r="C47" s="3">
        <v>70</v>
      </c>
      <c r="D47" s="3">
        <v>75</v>
      </c>
      <c r="E47" s="3">
        <v>80</v>
      </c>
      <c r="F47" s="6" t="s">
        <v>30</v>
      </c>
    </row>
    <row r="48" spans="1:11" x14ac:dyDescent="0.35">
      <c r="A48" s="3">
        <v>4</v>
      </c>
      <c r="B48" s="3" t="s">
        <v>15</v>
      </c>
      <c r="C48" s="3">
        <v>45</v>
      </c>
      <c r="D48" s="3">
        <v>65</v>
      </c>
      <c r="E48" s="3">
        <v>59</v>
      </c>
      <c r="F48" s="6" t="s">
        <v>30</v>
      </c>
    </row>
    <row r="49" spans="1:6" x14ac:dyDescent="0.35">
      <c r="A49" s="3">
        <v>5</v>
      </c>
      <c r="B49" s="3" t="s">
        <v>16</v>
      </c>
      <c r="C49" s="3">
        <v>65</v>
      </c>
      <c r="D49" s="3">
        <v>75</v>
      </c>
      <c r="E49" s="3">
        <v>53</v>
      </c>
      <c r="F49" s="6" t="s">
        <v>30</v>
      </c>
    </row>
    <row r="50" spans="1:6" x14ac:dyDescent="0.35">
      <c r="A50" s="3">
        <v>6</v>
      </c>
      <c r="B50" s="3" t="s">
        <v>17</v>
      </c>
      <c r="C50" s="3">
        <v>80</v>
      </c>
      <c r="D50" s="3">
        <v>70</v>
      </c>
      <c r="E50" s="3">
        <v>75</v>
      </c>
      <c r="F50" s="4" t="s">
        <v>29</v>
      </c>
    </row>
    <row r="51" spans="1:6" x14ac:dyDescent="0.35">
      <c r="A51" s="3">
        <v>7</v>
      </c>
      <c r="B51" s="3" t="s">
        <v>18</v>
      </c>
      <c r="C51" s="3">
        <v>90</v>
      </c>
      <c r="D51" s="3">
        <v>85</v>
      </c>
      <c r="E51" s="3">
        <v>81</v>
      </c>
      <c r="F51" s="4" t="s">
        <v>29</v>
      </c>
    </row>
    <row r="52" spans="1:6" x14ac:dyDescent="0.35">
      <c r="A52" s="3">
        <v>8</v>
      </c>
      <c r="B52" s="3" t="s">
        <v>19</v>
      </c>
      <c r="C52" s="3">
        <v>70</v>
      </c>
      <c r="D52" s="3">
        <v>70</v>
      </c>
      <c r="E52" s="3">
        <v>73</v>
      </c>
      <c r="F52" s="6" t="s">
        <v>30</v>
      </c>
    </row>
    <row r="53" spans="1:6" x14ac:dyDescent="0.35">
      <c r="A53" s="3">
        <v>9</v>
      </c>
      <c r="B53" s="3" t="s">
        <v>20</v>
      </c>
      <c r="C53" s="3">
        <v>96</v>
      </c>
      <c r="D53" s="3">
        <v>93</v>
      </c>
      <c r="E53" s="3">
        <v>85</v>
      </c>
      <c r="F53" s="4" t="s">
        <v>29</v>
      </c>
    </row>
    <row r="54" spans="1:6" x14ac:dyDescent="0.35">
      <c r="A54" s="3">
        <v>10</v>
      </c>
      <c r="B54" s="3" t="s">
        <v>21</v>
      </c>
      <c r="C54" s="3">
        <v>60</v>
      </c>
      <c r="D54" s="3">
        <v>55</v>
      </c>
      <c r="E54" s="3">
        <v>48</v>
      </c>
      <c r="F54" s="6" t="s">
        <v>30</v>
      </c>
    </row>
    <row r="55" spans="1:6" x14ac:dyDescent="0.35">
      <c r="A55" s="3">
        <v>11</v>
      </c>
      <c r="B55" s="3" t="s">
        <v>22</v>
      </c>
      <c r="C55" s="3">
        <v>45</v>
      </c>
      <c r="D55" s="3">
        <v>60</v>
      </c>
      <c r="E55" s="3">
        <v>58</v>
      </c>
      <c r="F55" s="6" t="s">
        <v>30</v>
      </c>
    </row>
    <row r="56" spans="1:6" x14ac:dyDescent="0.35">
      <c r="A56" s="3">
        <v>12</v>
      </c>
      <c r="B56" s="3" t="s">
        <v>23</v>
      </c>
      <c r="C56" s="3">
        <v>60</v>
      </c>
      <c r="D56" s="3">
        <v>70</v>
      </c>
      <c r="E56" s="3">
        <v>72</v>
      </c>
      <c r="F56" s="6" t="s">
        <v>30</v>
      </c>
    </row>
    <row r="57" spans="1:6" x14ac:dyDescent="0.35">
      <c r="A57" s="3">
        <v>13</v>
      </c>
      <c r="B57" s="3" t="s">
        <v>24</v>
      </c>
      <c r="C57" s="3">
        <v>85</v>
      </c>
      <c r="D57" s="3">
        <v>90</v>
      </c>
      <c r="E57" s="3">
        <v>88</v>
      </c>
      <c r="F57" s="4" t="s">
        <v>29</v>
      </c>
    </row>
    <row r="58" spans="1:6" x14ac:dyDescent="0.35">
      <c r="A58" s="3">
        <v>14</v>
      </c>
      <c r="B58" s="3" t="s">
        <v>25</v>
      </c>
      <c r="C58" s="3">
        <v>52</v>
      </c>
      <c r="D58" s="3">
        <v>68</v>
      </c>
      <c r="E58" s="3">
        <v>55</v>
      </c>
      <c r="F58" s="6" t="s">
        <v>30</v>
      </c>
    </row>
    <row r="59" spans="1:6" x14ac:dyDescent="0.35">
      <c r="A59" s="3">
        <v>15</v>
      </c>
      <c r="B59" s="3" t="s">
        <v>26</v>
      </c>
      <c r="C59" s="3">
        <v>40</v>
      </c>
      <c r="D59" s="3">
        <v>60</v>
      </c>
      <c r="E59" s="3">
        <v>70</v>
      </c>
      <c r="F59" s="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2026-04-23T04:18:44Z</dcterms:created>
  <dcterms:modified xsi:type="dcterms:W3CDTF">2026-04-24T13:37:11Z</dcterms:modified>
</cp:coreProperties>
</file>